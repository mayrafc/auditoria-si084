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77ef30003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completo" sheetId="1" r:id="R6d4096bec1724da7"/>
    <x:sheet xmlns:r="http://schemas.openxmlformats.org/officeDocument/2006/relationships" name="Vista captura" sheetId="2" r:id="R41e207671a704270"/>
    <x:sheet xmlns:r="http://schemas.openxmlformats.org/officeDocument/2006/relationships" name="Matriz 5x5" sheetId="3" r:id="Rad9aeec109ad4349"/>
    <x:sheet xmlns:r="http://schemas.openxmlformats.org/officeDocument/2006/relationships" name="Fuentes y criterios" sheetId="4" r:id="R555ea601ae6c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9"/>
      <x:color rgb="FFFFFFFF"/>
      <x:name val="Aptos Display"/>
    </x:font>
    <x:font>
      <x:b/>
      <x:sz val="10"/>
      <x:color rgb="FFFFFFFF"/>
      <x:name val="Carlito"/>
    </x:font>
    <x:font>
      <x:sz val="10"/>
      <x:name val="Aptos"/>
    </x:font>
    <x:font>
      <x:b/>
      <x:sz val="15"/>
      <x:color rgb="FFFFFFFF"/>
      <x:name val="Carlito"/>
    </x:font>
    <x:font>
      <x:b/>
      <x:sz val="11"/>
      <x:color rgb="FF1628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85C"/>
      </x:patternFill>
    </x:fill>
    <x:fill>
      <x:patternFill patternType="solid">
        <x:fgColor rgb="FFE8F1FB"/>
      </x:patternFill>
    </x:fill>
  </x:fills>
  <x:borders count="24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2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200" fontId="3" fillId="0" borderId="11" xfId="0" applyNumberFormat="1" applyFont="1" applyFill="1" applyBorder="1" applyAlignment="1">
      <x:alignment vertical="top" wrapText="1"/>
    </x:xf>
    <x:xf numFmtId="201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200" fontId="3" fillId="0" borderId="17" xfId="0" applyNumberFormat="1" applyFont="1" applyFill="1" applyBorder="1" applyAlignment="1">
      <x:alignment vertical="top" wrapText="1"/>
    </x:xf>
    <x:xf numFmtId="201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0" borderId="20" xfId="0" applyNumberFormat="1" applyFont="1" applyFill="1" applyBorder="1" applyAlignment="1">
      <x:alignment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1" fontId="3" fillId="0" borderId="20" xfId="0" applyNumberFormat="1" applyFont="1" applyFill="1" applyBorder="1" applyAlignment="1">
      <x:alignment vertical="top" wrapText="1"/>
    </x:xf>
    <x:xf numFmtId="0" fontId="3" fillId="0" borderId="2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21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6" fillId="0" borderId="20" xfId="0" applyNumberFormat="1" applyFont="1" applyFill="1" applyBorder="1" applyAlignment="1">
      <x:alignment vertical="center" wrapText="1"/>
    </x:xf>
    <x:xf numFmtId="0" fontId="6" fillId="0" borderId="21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  <x:xf numFmtId="200" fontId="6" fillId="0" borderId="11" xfId="0" applyNumberFormat="1" applyFont="1" applyFill="1" applyBorder="1" applyAlignment="1">
      <x:alignment vertical="center" wrapText="1"/>
    </x:xf>
    <x:xf numFmtId="200" fontId="6" fillId="0" borderId="14" xfId="0" applyNumberFormat="1" applyFont="1" applyFill="1" applyBorder="1" applyAlignment="1">
      <x:alignment vertical="center" wrapText="1"/>
    </x:xf>
    <x:xf numFmtId="200" fontId="6" fillId="0" borderId="17" xfId="0" applyNumberFormat="1" applyFont="1" applyFill="1" applyBorder="1" applyAlignment="1">
      <x:alignment vertical="center" wrapText="1"/>
    </x:xf>
    <x:xf numFmtId="200" fontId="6" fillId="0" borderId="20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201" fontId="6" fillId="0" borderId="8" xfId="0" applyNumberFormat="1" applyFont="1" applyFill="1" applyBorder="1" applyAlignment="1">
      <x:alignment vertical="center" wrapText="1"/>
    </x:xf>
    <x:xf numFmtId="201" fontId="6" fillId="0" borderId="11" xfId="0" applyNumberFormat="1" applyFont="1" applyFill="1" applyBorder="1" applyAlignment="1">
      <x:alignment vertical="center" wrapText="1"/>
    </x:xf>
    <x:xf numFmtId="201" fontId="6" fillId="0" borderId="14" xfId="0" applyNumberFormat="1" applyFont="1" applyFill="1" applyBorder="1" applyAlignment="1">
      <x:alignment vertical="center" wrapText="1"/>
    </x:xf>
    <x:xf numFmtId="201" fontId="6" fillId="0" borderId="17" xfId="0" applyNumberFormat="1" applyFont="1" applyFill="1" applyBorder="1" applyAlignment="1">
      <x:alignment vertical="center" wrapText="1"/>
    </x:xf>
    <x:xf numFmtId="201" fontId="6" fillId="0" borderId="2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3" borderId="22" xfId="0" applyNumberFormat="1" applyFont="1" applyFill="1" applyBorder="1" applyAlignment="1">
      <x:alignment horizontal="center" vertical="center"/>
    </x:xf>
    <x:xf numFmtId="0" fontId="0" fillId="3" borderId="23" xfId="0" applyNumberFormat="1" applyFont="1" applyFill="1" applyBorder="1" applyAlignment="1">
      <x:alignment horizontal="center" vertical="center"/>
    </x:xf>
    <x:xf numFmtId="0" fontId="8" fillId="3" borderId="22" xfId="0" applyNumberFormat="1" applyFont="1" applyFill="1" applyBorder="1" applyAlignment="1">
      <x:alignment horizontal="center" vertical="center"/>
    </x:xf>
    <x:xf numFmtId="0" fontId="8" fillId="3" borderId="23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vertical="top"/>
    </x:xf>
    <x:xf numFmtId="0" fontId="8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FFFFFF"/>
      </x:font>
      <x:fill>
        <x:patternFill patternType="solid">
          <x:bgColor rgb="FFDC2626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  <x:dxf>
      <x:font>
        <x:b/>
        <x:color rgb="FF111827"/>
      </x:font>
      <x:fill>
        <x:patternFill patternType="solid">
          <x:bgColor rgb="FFFACC15"/>
        </x:patternFill>
      </x:fill>
    </x:dxf>
    <x:dxf>
      <x:font>
        <x:b/>
        <x:color rgb="FFFFFFFF"/>
      </x:font>
      <x:fill>
        <x:patternFill patternType="solid">
          <x:bgColor rgb="FF22C55E"/>
        </x:patternFill>
      </x:fill>
    </x:dxf>
    <x:dxf>
      <x:font>
        <x:b/>
        <x:color rgb="FFFFFFFF"/>
      </x:font>
      <x:fill>
        <x:patternFill patternType="solid">
          <x:bgColor rgb="FFDC2626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  <x:dxf>
      <x:font>
        <x:b/>
        <x:color rgb="FF111827"/>
      </x:font>
      <x:fill>
        <x:patternFill patternType="solid">
          <x:bgColor rgb="FFFACC15"/>
        </x:patternFill>
      </x:fill>
    </x:dxf>
    <x:dxf>
      <x:font>
        <x:b/>
        <x:color rgb="FFFFFFFF"/>
      </x:font>
      <x:fill>
        <x:patternFill patternType="solid">
          <x:bgColor rgb="FF22C55E"/>
        </x:patternFill>
      </x:fill>
    </x:dxf>
    <x:dxf>
      <x:fill>
        <x:patternFill patternType="solid">
          <x:bgColor rgb="FF86EFAC"/>
        </x:patternFill>
      </x:fill>
    </x:dxf>
    <x:dxf>
      <x:fill>
        <x:patternFill patternType="solid">
          <x:bgColor rgb="FFFDE047"/>
        </x:patternFill>
      </x:fill>
    </x:dxf>
    <x:dxf>
      <x:fill>
        <x:patternFill patternType="solid">
          <x:bgColor rgb="FFFB923C"/>
        </x:patternFill>
      </x:fill>
    </x:dxf>
    <x:dxf>
      <x:font>
        <x:b/>
        <x:color rgb="FFFFFFFF"/>
      </x:font>
      <x:fill>
        <x:patternFill patternType="solid">
          <x:bgColor rgb="FFDC262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1b53f058f4574" /><Relationship Type="http://schemas.openxmlformats.org/officeDocument/2006/relationships/theme" Target="/xl/theme/theme1.xml" Id="R30aa0ad01a294e5d" /><Relationship Type="http://schemas.openxmlformats.org/officeDocument/2006/relationships/sharedStrings" Target="/xl/sharedStrings.xml" Id="R0366b92df0b94a30" /><Relationship Type="http://schemas.openxmlformats.org/officeDocument/2006/relationships/worksheet" Target="/xl/worksheets/sheet1.xml" Id="R6d4096bec1724da7" /><Relationship Type="http://schemas.openxmlformats.org/officeDocument/2006/relationships/worksheet" Target="/xl/worksheets/sheet2.xml" Id="R41e207671a704270" /><Relationship Type="http://schemas.openxmlformats.org/officeDocument/2006/relationships/worksheet" Target="/xl/worksheets/sheet3.xml" Id="Rad9aeec109ad4349" /><Relationship Type="http://schemas.openxmlformats.org/officeDocument/2006/relationships/worksheet" Target="/xl/worksheets/sheet4.xml" Id="R555ea601ae6c4645" /></Relationships>
</file>

<file path=xl/tables/table1.xml><?xml version="1.0" encoding="utf-8"?>
<x:table xmlns:x="http://schemas.openxmlformats.org/spreadsheetml/2006/main" id="1" name="RegistroRiesgos" displayName="RegistroRiesgos" ref="A1:V11" headerRowCount="1" totalsRowCount="0" totalsRowShown="0">
  <x:tableColumns count="22">
    <x:tableColumn id="1" name="id_riesgo"/>
    <x:tableColumn id="2" name="ip"/>
    <x:tableColumn id="3" name="contenedor_origen"/>
    <x:tableColumn id="4" name="activo"/>
    <x:tableColumn id="5" name="dueno_del_riesgo"/>
    <x:tableColumn id="6" name="clasificacion"/>
    <x:tableColumn id="7" name="amenaza"/>
    <x:tableColumn id="8" name="vulnerabilidad"/>
    <x:tableColumn id="9" name="cve"/>
    <x:tableColumn id="10" name="cvss"/>
    <x:tableColumn id="11" name="severidad_tecnica"/>
    <x:tableColumn id="12" name="vector_ataque"/>
    <x:tableColumn id="13" name="probabilidad"/>
    <x:tableColumn id="14" name="impacto"/>
    <x:tableColumn id="15" name="riesgo_inherente"/>
    <x:tableColumn id="16" name="nivel"/>
    <x:tableColumn id="17" name="criterio_aceptacion"/>
    <x:tableColumn id="18" name="tratamiento_propuesto"/>
    <x:tableColumn id="19" name="control_iso"/>
    <x:tableColumn id="20" name="riesgo_residual_estimado"/>
    <x:tableColumn id="21" name="fuente_evidencia"/>
    <x:tableColumn id="22" name="observ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staCapturaRiesgos" displayName="VistaCapturaRiesgos" ref="A1:J11" headerRowCount="1" totalsRowCount="0" totalsRowShown="0">
  <x:tableColumns count="10">
    <x:tableColumn id="1" name="ID"/>
    <x:tableColumn id="2" name="Activo"/>
    <x:tableColumn id="3" name="Dueño del riesgo"/>
    <x:tableColumn id="4" name="CVE"/>
    <x:tableColumn id="5" name="CVSS"/>
    <x:tableColumn id="6" name="Probabilidad"/>
    <x:tableColumn id="7" name="Impacto"/>
    <x:tableColumn id="8" name="Riesgo inherente"/>
    <x:tableColumn id="9" name="Nivel"/>
    <x:tableColumn id="10" name="Control I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acb8d172f45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758bf98b0546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9" hidden="0" customWidth="1"/>
    <x:col min="4" max="4" width="28" hidden="0" customWidth="1"/>
    <x:col min="5" max="5" width="25" hidden="0" customWidth="1"/>
    <x:col min="6" max="6" width="16" hidden="0" customWidth="1"/>
    <x:col min="7" max="7" width="32" hidden="0" customWidth="1"/>
    <x:col min="8" max="8" width="38" hidden="0" customWidth="1"/>
    <x:col min="9" max="9" width="10" hidden="0" customWidth="1"/>
    <x:col min="10" max="10" width="9" hidden="0" customWidth="1"/>
    <x:col min="11" max="11" width="15" hidden="0" customWidth="1"/>
    <x:col min="12" max="12" width="14" hidden="0" customWidth="1"/>
    <x:col min="13" max="13" width="12" hidden="0" customWidth="1"/>
    <x:col min="14" max="14" width="10" hidden="0" customWidth="1"/>
    <x:col min="15" max="15" width="14" hidden="0" customWidth="1"/>
    <x:col min="16" max="16" width="12" hidden="0" customWidth="1"/>
    <x:col min="17" max="17" width="24" hidden="0" customWidth="1"/>
    <x:col min="18" max="18" width="38" hidden="0" customWidth="1"/>
    <x:col min="19" max="19" width="18" hidden="0" customWidth="1"/>
    <x:col min="20" max="20" width="14" hidden="0" customWidth="1"/>
    <x:col min="21" max="21" width="38" hidden="0" customWidth="1"/>
    <x:col min="22" max="22" width="48" hidden="0" customWidth="1"/>
  </x:cols>
  <x:sheetData>
    <x:row r="1" ht="38" customHeight="1">
      <x:c r="A1" s="112" t="str">
        <x:v>id_riesgo</x:v>
      </x:c>
      <x:c r="B1" s="112" t="str">
        <x:v>ip</x:v>
      </x:c>
      <x:c r="C1" s="112" t="str">
        <x:v>contenedor_origen</x:v>
      </x:c>
      <x:c r="D1" s="112" t="str">
        <x:v>activo</x:v>
      </x:c>
      <x:c r="E1" s="112" t="str">
        <x:v>dueno_del_riesgo</x:v>
      </x:c>
      <x:c r="F1" s="112" t="str">
        <x:v>clasificacion</x:v>
      </x:c>
      <x:c r="G1" s="112" t="str">
        <x:v>amenaza</x:v>
      </x:c>
      <x:c r="H1" s="112" t="str">
        <x:v>vulnerabilidad</x:v>
      </x:c>
      <x:c r="I1" s="112" t="str">
        <x:v>cve</x:v>
      </x:c>
      <x:c r="J1" s="112" t="str">
        <x:v>cvss</x:v>
      </x:c>
      <x:c r="K1" s="112" t="str">
        <x:v>severidad_tecnica</x:v>
      </x:c>
      <x:c r="L1" s="112" t="str">
        <x:v>vector_ataque</x:v>
      </x:c>
      <x:c r="M1" s="112" t="str">
        <x:v>probabilidad</x:v>
      </x:c>
      <x:c r="N1" s="112" t="str">
        <x:v>impacto</x:v>
      </x:c>
      <x:c r="O1" s="112" t="str">
        <x:v>riesgo_inherente</x:v>
      </x:c>
      <x:c r="P1" s="112" t="str">
        <x:v>nivel</x:v>
      </x:c>
      <x:c r="Q1" s="112" t="str">
        <x:v>criterio_aceptacion</x:v>
      </x:c>
      <x:c r="R1" s="112" t="str">
        <x:v>tratamiento_propuesto</x:v>
      </x:c>
      <x:c r="S1" s="112" t="str">
        <x:v>control_iso</x:v>
      </x:c>
      <x:c r="T1" s="112" t="str">
        <x:v>riesgo_residual_estimado</x:v>
      </x:c>
      <x:c r="U1" s="112" t="str">
        <x:v>fuente_evidencia</x:v>
      </x:c>
      <x:c r="V1" s="112" t="str">
        <x:v>observacion</x:v>
      </x:c>
    </x:row>
    <x:row r="2">
      <x:c r="A2" s="81" t="str">
        <x:v>R-001</x:v>
      </x:c>
      <x:c r="B2" s="82" t="str">
        <x:v>172.18.0.6</x:v>
      </x:c>
      <x:c r="C2" s="82" t="str">
        <x:v>si084_dvwa</x:v>
      </x:c>
      <x:c r="D2" s="82" t="str">
        <x:v>Aplicación DVWA de entrenamiento</x:v>
      </x:c>
      <x:c r="E2" s="82" t="str">
        <x:v>Gerencia de Operaciones</x:v>
      </x:c>
      <x:c r="F2" s="82" t="str">
        <x:v>Interna</x:v>
      </x:c>
      <x:c r="G2" s="82" t="str">
        <x:v>Explotación de sistema operativo sin soporte</x:v>
      </x:c>
      <x:c r="H2" s="82" t="str">
        <x:v>Sistema operativo Debian 9 fuera de soporte</x:v>
      </x:c>
      <x:c r="I2" s="82" t="str">
        <x:v>N/D</x:v>
      </x:c>
      <x:c r="J2" s="83" t="str">
        <x:v>10.0</x:v>
      </x:c>
      <x:c r="K2" s="82" t="str">
        <x:v>Crítica</x:v>
      </x:c>
      <x:c r="L2" s="82" t="str">
        <x:v>Red</x:v>
      </x:c>
      <x:c r="M2" s="84" t="str">
        <x:v>4</x:v>
      </x:c>
      <x:c r="N2" s="84" t="str">
        <x:v>1</x:v>
      </x:c>
      <x:c r="O2" s="84" t="n">
        <x:f>M2*N2</x:f>
        <x:v>4</x:v>
      </x:c>
      <x:c r="P2" s="82" t="str">
        <x:f>IF(O2&gt;=20,"Crítico",IF(O2&gt;=12,"Alto",IF(O2&gt;=6,"Medio","Bajo")))</x:f>
        <x:v>Bajo</x:v>
      </x:c>
      <x:c r="Q2" s="82" t="str">
        <x:v>Puede aceptarse con aprobación y aislamiento</x:v>
      </x:c>
      <x:c r="R2" s="82" t="str">
        <x:v>Mantener aislamiento y retirar o actualizar la imagen</x:v>
      </x:c>
      <x:c r="S2" s="82" t="str">
        <x:v>A.8.8</x:v>
      </x:c>
      <x:c r="T2" s="84" t="str">
        <x:v>2</x:v>
      </x:c>
      <x:c r="U2" s="82" t="str">
        <x:v>Greenbone autenticado y no autenticado - Operating System EOL Detection</x:v>
      </x:c>
      <x:c r="V2" s="85" t="str">
        <x:v>Caso de contraste: CVSS alto pero impacto bajo porque es un activo de práctica aislado y sin datos reales</x:v>
      </x:c>
    </x:row>
    <x:row r="3">
      <x:c r="A3" s="86" t="str">
        <x:v>R-002</x:v>
      </x:c>
      <x:c r="B3" s="87" t="str">
        <x:v>172.18.0.6</x:v>
      </x:c>
      <x:c r="C3" s="87" t="str">
        <x:v>si084_dvwa</x:v>
      </x:c>
      <x:c r="D3" s="87" t="str">
        <x:v>Servidor de aplicación legada interna</x:v>
      </x:c>
      <x:c r="E3" s="87" t="str">
        <x:v>Gerencia de Operaciones</x:v>
      </x:c>
      <x:c r="F3" s="87" t="str">
        <x:v>Interna</x:v>
      </x:c>
      <x:c r="G3" s="87" t="str">
        <x:v>Compromiso remoto del servidor</x:v>
      </x:c>
      <x:c r="H3" s="87" t="str">
        <x:v>Sistema operativo Debian 9 fuera de soporte</x:v>
      </x:c>
      <x:c r="I3" s="87" t="str">
        <x:v>N/D</x:v>
      </x:c>
      <x:c r="J3" s="88" t="str">
        <x:v>10.0</x:v>
      </x:c>
      <x:c r="K3" s="87" t="str">
        <x:v>Crítica</x:v>
      </x:c>
      <x:c r="L3" s="87" t="str">
        <x:v>Red</x:v>
      </x:c>
      <x:c r="M3" s="89" t="str">
        <x:v>4</x:v>
      </x:c>
      <x:c r="N3" s="89" t="str">
        <x:v>3</x:v>
      </x:c>
      <x:c r="O3" s="89" t="n">
        <x:f>M3*N3</x:f>
        <x:v>12</x:v>
      </x:c>
      <x:c r="P3" s="87" t="str">
        <x:f>IF(O3&gt;=20,"Crítico",IF(O3&gt;=12,"Alto",IF(O3&gt;=6,"Medio","Bajo")))</x:f>
        <x:v>Alto</x:v>
      </x:c>
      <x:c r="Q3" s="87" t="str">
        <x:v>Requiere tratamiento</x:v>
      </x:c>
      <x:c r="R3" s="87" t="str">
        <x:v>Actualizar imagen base y establecer gestión de parches</x:v>
      </x:c>
      <x:c r="S3" s="87" t="str">
        <x:v>A.8.8</x:v>
      </x:c>
      <x:c r="T3" s="89" t="str">
        <x:v>6</x:v>
      </x:c>
      <x:c r="U3" s="87" t="str">
        <x:v>Greenbone autenticado y no autenticado - Operating System EOL Detection</x:v>
      </x:c>
      <x:c r="V3" s="90" t="str">
        <x:v>Escenario de alteración del servicio derivado de la detección crítica</x:v>
      </x:c>
    </x:row>
    <x:row r="4">
      <x:c r="A4" s="86" t="str">
        <x:v>R-003</x:v>
      </x:c>
      <x:c r="B4" s="87" t="str">
        <x:v>172.18.0.6</x:v>
      </x:c>
      <x:c r="C4" s="87" t="str">
        <x:v>si084_dvwa</x:v>
      </x:c>
      <x:c r="D4" s="87" t="str">
        <x:v>Servicio de aplicación legada</x:v>
      </x:c>
      <x:c r="E4" s="87" t="str">
        <x:v>Gerencia de Operaciones</x:v>
      </x:c>
      <x:c r="F4" s="87" t="str">
        <x:v>Interna</x:v>
      </x:c>
      <x:c r="G4" s="87" t="str">
        <x:v>Interrupción del servicio por fallos no corregidos</x:v>
      </x:c>
      <x:c r="H4" s="87" t="str">
        <x:v>Sistema operativo Debian 9 fuera de soporte</x:v>
      </x:c>
      <x:c r="I4" s="87" t="str">
        <x:v>N/D</x:v>
      </x:c>
      <x:c r="J4" s="88" t="str">
        <x:v>10.0</x:v>
      </x:c>
      <x:c r="K4" s="87" t="str">
        <x:v>Crítica</x:v>
      </x:c>
      <x:c r="L4" s="87" t="str">
        <x:v>Red</x:v>
      </x:c>
      <x:c r="M4" s="89" t="str">
        <x:v>3</x:v>
      </x:c>
      <x:c r="N4" s="89" t="str">
        <x:v>3</x:v>
      </x:c>
      <x:c r="O4" s="89" t="n">
        <x:f>M4*N4</x:f>
        <x:v>9</x:v>
      </x:c>
      <x:c r="P4" s="87" t="str">
        <x:f>IF(O4&gt;=20,"Crítico",IF(O4&gt;=12,"Alto",IF(O4&gt;=6,"Medio","Bajo")))</x:f>
        <x:v>Medio</x:v>
      </x:c>
      <x:c r="Q4" s="87" t="str">
        <x:v>Requiere tratamiento</x:v>
      </x:c>
      <x:c r="R4" s="87" t="str">
        <x:v>Migrar a versión soportada y probar recuperación</x:v>
      </x:c>
      <x:c r="S4" s="87" t="str">
        <x:v>A.8.14</x:v>
      </x:c>
      <x:c r="T4" s="89" t="str">
        <x:v>4</x:v>
      </x:c>
      <x:c r="U4" s="87" t="str">
        <x:v>Greenbone autenticado y no autenticado - Operating System EOL Detection</x:v>
      </x:c>
      <x:c r="V4" s="90" t="str">
        <x:v>Escenario de disponibilidad distinto del compromiso de integridad de R-002</x:v>
      </x:c>
    </x:row>
    <x:row r="5">
      <x:c r="A5" s="86" t="str">
        <x:v>R-004</x:v>
      </x:c>
      <x:c r="B5" s="87" t="str">
        <x:v>172.18.0.6</x:v>
      </x:c>
      <x:c r="C5" s="87" t="str">
        <x:v>si084_dvwa</x:v>
      </x:c>
      <x:c r="D5" s="87" t="str">
        <x:v>Credenciales con acceso a información restringida</x:v>
      </x:c>
      <x:c r="E5" s="87" t="str">
        <x:v>Gerencia de Finanzas</x:v>
      </x:c>
      <x:c r="F5" s="87" t="str">
        <x:v>Restringida</x:v>
      </x:c>
      <x:c r="G5" s="87" t="str">
        <x:v>Intercepción y reutilización de credenciales</x:v>
      </x:c>
      <x:c r="H5" s="87" t="str">
        <x:v>Formulario de autenticación transmite contraseña mediante HTTP</x:v>
      </x:c>
      <x:c r="I5" s="87" t="str">
        <x:v>N/D</x:v>
      </x:c>
      <x:c r="J5" s="88" t="str">
        <x:v>4.8</x:v>
      </x:c>
      <x:c r="K5" s="87" t="str">
        <x:v>Media</x:v>
      </x:c>
      <x:c r="L5" s="87" t="str">
        <x:v>Red</x:v>
      </x:c>
      <x:c r="M5" s="89" t="str">
        <x:v>4</x:v>
      </x:c>
      <x:c r="N5" s="89" t="str">
        <x:v>5</x:v>
      </x:c>
      <x:c r="O5" s="89" t="n">
        <x:f>M5*N5</x:f>
        <x:v>20</x:v>
      </x:c>
      <x:c r="P5" s="87" t="str">
        <x:f>IF(O5&gt;=20,"Crítico",IF(O5&gt;=12,"Alto",IF(O5&gt;=6,"Medio","Bajo")))</x:f>
        <x:v>Crítico</x:v>
      </x:c>
      <x:c r="Q5" s="87" t="str">
        <x:v>Requiere tratamiento</x:v>
      </x:c>
      <x:c r="R5" s="87" t="str">
        <x:v>Forzar HTTPS y prohibir reutilización de credenciales</x:v>
      </x:c>
      <x:c r="S5" s="87" t="str">
        <x:v>A.8.24 / A.5.17</x:v>
      </x:c>
      <x:c r="T5" s="89" t="str">
        <x:v>6</x:v>
      </x:c>
      <x:c r="U5" s="87" t="str">
        <x:v>Greenbone autenticado y no autenticado - Cleartext Transmission via HTTP</x:v>
      </x:c>
      <x:c r="V5" s="90" t="str">
        <x:v>Caso de contraste condicionado: CVSS medio y riesgo crítico si la credencial expuesta permite acceso al ERP; validar reutilización durante la auditoría</x:v>
      </x:c>
    </x:row>
    <x:row r="6">
      <x:c r="A6" s="86" t="str">
        <x:v>R-005</x:v>
      </x:c>
      <x:c r="B6" s="87" t="str">
        <x:v>172.18.0.6</x:v>
      </x:c>
      <x:c r="C6" s="87" t="str">
        <x:v>si084_dvwa</x:v>
      </x:c>
      <x:c r="D6" s="87" t="str">
        <x:v>Credenciales de la aplicación legada</x:v>
      </x:c>
      <x:c r="E6" s="87" t="str">
        <x:v>Gerencia de Operaciones</x:v>
      </x:c>
      <x:c r="F6" s="87" t="str">
        <x:v>Confidencial</x:v>
      </x:c>
      <x:c r="G6" s="87" t="str">
        <x:v>Robo de credenciales mediante escucha de red</x:v>
      </x:c>
      <x:c r="H6" s="87" t="str">
        <x:v>Formulario de autenticación transmite contraseña mediante HTTP</x:v>
      </x:c>
      <x:c r="I6" s="87" t="str">
        <x:v>N/D</x:v>
      </x:c>
      <x:c r="J6" s="88" t="str">
        <x:v>4.8</x:v>
      </x:c>
      <x:c r="K6" s="87" t="str">
        <x:v>Media</x:v>
      </x:c>
      <x:c r="L6" s="87" t="str">
        <x:v>Red</x:v>
      </x:c>
      <x:c r="M6" s="89" t="str">
        <x:v>3</x:v>
      </x:c>
      <x:c r="N6" s="89" t="str">
        <x:v>4</x:v>
      </x:c>
      <x:c r="O6" s="89" t="n">
        <x:f>M6*N6</x:f>
        <x:v>12</x:v>
      </x:c>
      <x:c r="P6" s="87" t="str">
        <x:f>IF(O6&gt;=20,"Crítico",IF(O6&gt;=12,"Alto",IF(O6&gt;=6,"Medio","Bajo")))</x:f>
        <x:v>Alto</x:v>
      </x:c>
      <x:c r="Q6" s="87" t="str">
        <x:v>Requiere tratamiento</x:v>
      </x:c>
      <x:c r="R6" s="87" t="str">
        <x:v>Habilitar TLS y redirigir todo HTTP a HTTPS</x:v>
      </x:c>
      <x:c r="S6" s="87" t="str">
        <x:v>A.8.24</x:v>
      </x:c>
      <x:c r="T6" s="89" t="str">
        <x:v>4</x:v>
      </x:c>
      <x:c r="U6" s="87" t="str">
        <x:v>Greenbone autenticado y no autenticado - Cleartext Transmission via HTTP</x:v>
      </x:c>
      <x:c r="V6" s="90" t="str">
        <x:v>La evidencia identifica el campo password en http://172.18.0.6/login.php</x:v>
      </x:c>
    </x:row>
    <x:row r="7">
      <x:c r="A7" s="86" t="str">
        <x:v>R-006</x:v>
      </x:c>
      <x:c r="B7" s="87" t="str">
        <x:v>172.18.0.6</x:v>
      </x:c>
      <x:c r="C7" s="87" t="str">
        <x:v>si084_dvwa</x:v>
      </x:c>
      <x:c r="D7" s="87" t="str">
        <x:v>Sesiones de usuarios de la aplicación</x:v>
      </x:c>
      <x:c r="E7" s="87" t="str">
        <x:v>Gerencia de Operaciones</x:v>
      </x:c>
      <x:c r="F7" s="87" t="str">
        <x:v>Confidencial</x:v>
      </x:c>
      <x:c r="G7" s="87" t="str">
        <x:v>Secuestro de sesión mediante scripts del navegador</x:v>
      </x:c>
      <x:c r="H7" s="87" t="str">
        <x:v>Cookie de sesión sin atributo HttpOnly</x:v>
      </x:c>
      <x:c r="I7" s="87" t="str">
        <x:v>N/D</x:v>
      </x:c>
      <x:c r="J7" s="88" t="str">
        <x:v>5.0</x:v>
      </x:c>
      <x:c r="K7" s="87" t="str">
        <x:v>Media</x:v>
      </x:c>
      <x:c r="L7" s="87" t="str">
        <x:v>Red</x:v>
      </x:c>
      <x:c r="M7" s="89" t="str">
        <x:v>3</x:v>
      </x:c>
      <x:c r="N7" s="89" t="str">
        <x:v>3</x:v>
      </x:c>
      <x:c r="O7" s="89" t="n">
        <x:f>M7*N7</x:f>
        <x:v>9</x:v>
      </x:c>
      <x:c r="P7" s="87" t="str">
        <x:f>IF(O7&gt;=20,"Crítico",IF(O7&gt;=12,"Alto",IF(O7&gt;=6,"Medio","Bajo")))</x:f>
        <x:v>Medio</x:v>
      </x:c>
      <x:c r="Q7" s="87" t="str">
        <x:v>Requiere tratamiento</x:v>
      </x:c>
      <x:c r="R7" s="87" t="str">
        <x:v>Configurar HttpOnly Secure y SameSite en cookies de sesión</x:v>
      </x:c>
      <x:c r="S7" s="87" t="str">
        <x:v>A.8.26</x:v>
      </x:c>
      <x:c r="T7" s="89" t="str">
        <x:v>4</x:v>
      </x:c>
      <x:c r="U7" s="87" t="str">
        <x:v>Greenbone autenticado y no autenticado - Missing HttpOnly Cookie Attribute</x:v>
      </x:c>
      <x:c r="V7" s="90" t="str">
        <x:v>Greenbone identificó PHPSESSID y security sin HttpOnly</x:v>
      </x:c>
    </x:row>
    <x:row r="8">
      <x:c r="A8" s="86" t="str">
        <x:v>R-007</x:v>
      </x:c>
      <x:c r="B8" s="87" t="str">
        <x:v>172.18.0.5</x:v>
      </x:c>
      <x:c r="C8" s="87" t="str">
        <x:v>si084_db</x:v>
      </x:c>
      <x:c r="D8" s="87" t="str">
        <x:v>Base de datos ERP</x:v>
      </x:c>
      <x:c r="E8" s="87" t="str">
        <x:v>Gerencia de Finanzas</x:v>
      </x:c>
      <x:c r="F8" s="87" t="str">
        <x:v>Restringida</x:v>
      </x:c>
      <x:c r="G8" s="87" t="str">
        <x:v>Reconocimiento técnico previo a un ataque</x:v>
      </x:c>
      <x:c r="H8" s="87" t="str">
        <x:v>Divulgación de información mediante TCP timestamps</x:v>
      </x:c>
      <x:c r="I8" s="87" t="str">
        <x:v>N/D</x:v>
      </x:c>
      <x:c r="J8" s="88" t="str">
        <x:v>2.6</x:v>
      </x:c>
      <x:c r="K8" s="87" t="str">
        <x:v>Baja</x:v>
      </x:c>
      <x:c r="L8" s="87" t="str">
        <x:v>Red</x:v>
      </x:c>
      <x:c r="M8" s="89" t="str">
        <x:v>2</x:v>
      </x:c>
      <x:c r="N8" s="89" t="str">
        <x:v>5</x:v>
      </x:c>
      <x:c r="O8" s="89" t="n">
        <x:f>M8*N8</x:f>
        <x:v>10</x:v>
      </x:c>
      <x:c r="P8" s="87" t="str">
        <x:f>IF(O8&gt;=20,"Crítico",IF(O8&gt;=12,"Alto",IF(O8&gt;=6,"Medio","Bajo")))</x:f>
        <x:v>Medio</x:v>
      </x:c>
      <x:c r="Q8" s="87" t="str">
        <x:v>Requiere tratamiento</x:v>
      </x:c>
      <x:c r="R8" s="87" t="str">
        <x:v>Deshabilitar timestamps si es viable y restringir acceso de red</x:v>
      </x:c>
      <x:c r="S8" s="87" t="str">
        <x:v>A.8.20 / A.8.9</x:v>
      </x:c>
      <x:c r="T8" s="89" t="str">
        <x:v>4</x:v>
      </x:c>
      <x:c r="U8" s="87" t="str">
        <x:v>Greenbone autenticado y no autenticado - TCP Timestamps Information Disclosure</x:v>
      </x:c>
      <x:c r="V8" s="90" t="str">
        <x:v>La baja severidad técnica aumenta por la criticidad del activo de datos</x:v>
      </x:c>
    </x:row>
    <x:row r="9">
      <x:c r="A9" s="86" t="str">
        <x:v>R-008</x:v>
      </x:c>
      <x:c r="B9" s="87" t="str">
        <x:v>172.18.0.4</x:v>
      </x:c>
      <x:c r="C9" s="87" t="str">
        <x:v>si084_juiceshop</x:v>
      </x:c>
      <x:c r="D9" s="87" t="str">
        <x:v>Portal de clientes</x:v>
      </x:c>
      <x:c r="E9" s="87" t="str">
        <x:v>Gerencia Comercial</x:v>
      </x:c>
      <x:c r="F9" s="87" t="str">
        <x:v>Confidencial</x:v>
      </x:c>
      <x:c r="G9" s="87" t="str">
        <x:v>Reconocimiento de infraestructura expuesta</x:v>
      </x:c>
      <x:c r="H9" s="87" t="str">
        <x:v>Divulgación de información mediante TCP timestamps</x:v>
      </x:c>
      <x:c r="I9" s="87" t="str">
        <x:v>N/D</x:v>
      </x:c>
      <x:c r="J9" s="88" t="str">
        <x:v>2.6</x:v>
      </x:c>
      <x:c r="K9" s="87" t="str">
        <x:v>Baja</x:v>
      </x:c>
      <x:c r="L9" s="87" t="str">
        <x:v>Red</x:v>
      </x:c>
      <x:c r="M9" s="89" t="str">
        <x:v>3</x:v>
      </x:c>
      <x:c r="N9" s="89" t="str">
        <x:v>4</x:v>
      </x:c>
      <x:c r="O9" s="89" t="n">
        <x:f>M9*N9</x:f>
        <x:v>12</x:v>
      </x:c>
      <x:c r="P9" s="87" t="str">
        <x:f>IF(O9&gt;=20,"Crítico",IF(O9&gt;=12,"Alto",IF(O9&gt;=6,"Medio","Bajo")))</x:f>
        <x:v>Alto</x:v>
      </x:c>
      <x:c r="Q9" s="87" t="str">
        <x:v>Requiere tratamiento</x:v>
      </x:c>
      <x:c r="R9" s="87" t="str">
        <x:v>Reducir exposición y aplicar endurecimiento de red</x:v>
      </x:c>
      <x:c r="S9" s="87" t="str">
        <x:v>A.8.20 / A.8.9</x:v>
      </x:c>
      <x:c r="T9" s="89" t="str">
        <x:v>4</x:v>
      </x:c>
      <x:c r="U9" s="87" t="str">
        <x:v>Greenbone autenticado y no autenticado - TCP Timestamps Information Disclosure</x:v>
      </x:c>
      <x:c r="V9" s="90" t="str">
        <x:v>La exposición del portal eleva la probabilidad aunque el CVSS sea bajo</x:v>
      </x:c>
    </x:row>
    <x:row r="10">
      <x:c r="A10" s="86" t="str">
        <x:v>R-009</x:v>
      </x:c>
      <x:c r="B10" s="87" t="str">
        <x:v>172.18.0.8</x:v>
      </x:c>
      <x:c r="C10" s="87" t="str">
        <x:v>si084_portal</x:v>
      </x:c>
      <x:c r="D10" s="87" t="str">
        <x:v>Portal corporativo público</x:v>
      </x:c>
      <x:c r="E10" s="87" t="str">
        <x:v>Gerencia Comercial</x:v>
      </x:c>
      <x:c r="F10" s="87" t="str">
        <x:v>Pública</x:v>
      </x:c>
      <x:c r="G10" s="87" t="str">
        <x:v>Reconocimiento de infraestructura expuesta</x:v>
      </x:c>
      <x:c r="H10" s="87" t="str">
        <x:v>Divulgación de información mediante TCP timestamps</x:v>
      </x:c>
      <x:c r="I10" s="87" t="str">
        <x:v>N/D</x:v>
      </x:c>
      <x:c r="J10" s="88" t="str">
        <x:v>2.6</x:v>
      </x:c>
      <x:c r="K10" s="87" t="str">
        <x:v>Baja</x:v>
      </x:c>
      <x:c r="L10" s="87" t="str">
        <x:v>Red</x:v>
      </x:c>
      <x:c r="M10" s="89" t="str">
        <x:v>3</x:v>
      </x:c>
      <x:c r="N10" s="89" t="str">
        <x:v>1</x:v>
      </x:c>
      <x:c r="O10" s="89" t="n">
        <x:f>M10*N10</x:f>
        <x:v>3</x:v>
      </x:c>
      <x:c r="P10" s="87" t="str">
        <x:f>IF(O10&gt;=20,"Crítico",IF(O10&gt;=12,"Alto",IF(O10&gt;=6,"Medio","Bajo")))</x:f>
        <x:v>Bajo</x:v>
      </x:c>
      <x:c r="Q10" s="87" t="str">
        <x:v>Puede aceptarse con aprobación</x:v>
      </x:c>
      <x:c r="R10" s="87" t="str">
        <x:v>Documentar aceptación y revisar durante el endurecimiento</x:v>
      </x:c>
      <x:c r="S10" s="87" t="str">
        <x:v>A.8.9</x:v>
      </x:c>
      <x:c r="T10" s="89" t="str">
        <x:v>2</x:v>
      </x:c>
      <x:c r="U10" s="87" t="str">
        <x:v>Greenbone autenticado y no autenticado - TCP Timestamps Information Disclosure</x:v>
      </x:c>
      <x:c r="V10" s="90" t="str">
        <x:v>Activo público sin datos sensibles y con impacto limitado</x:v>
      </x:c>
    </x:row>
    <x:row r="11">
      <x:c r="A11" s="91" t="str">
        <x:v>R-010</x:v>
      </x:c>
      <x:c r="B11" s="92" t="str">
        <x:v>172.18.0.6</x:v>
      </x:c>
      <x:c r="C11" s="92" t="str">
        <x:v>si084_dvwa</x:v>
      </x:c>
      <x:c r="D11" s="92" t="str">
        <x:v>Aplicación legada interna</x:v>
      </x:c>
      <x:c r="E11" s="92" t="str">
        <x:v>Gerencia de Operaciones</x:v>
      </x:c>
      <x:c r="F11" s="92" t="str">
        <x:v>Interna</x:v>
      </x:c>
      <x:c r="G11" s="92" t="str">
        <x:v>Reconocimiento técnico previo a explotación</x:v>
      </x:c>
      <x:c r="H11" s="92" t="str">
        <x:v>Divulgación de información mediante TCP timestamps</x:v>
      </x:c>
      <x:c r="I11" s="92" t="str">
        <x:v>N/D</x:v>
      </x:c>
      <x:c r="J11" s="93" t="str">
        <x:v>2.6</x:v>
      </x:c>
      <x:c r="K11" s="92" t="str">
        <x:v>Baja</x:v>
      </x:c>
      <x:c r="L11" s="92" t="str">
        <x:v>Red</x:v>
      </x:c>
      <x:c r="M11" s="94" t="str">
        <x:v>2</x:v>
      </x:c>
      <x:c r="N11" s="94" t="str">
        <x:v>3</x:v>
      </x:c>
      <x:c r="O11" s="94" t="n">
        <x:f>M11*N11</x:f>
        <x:v>6</x:v>
      </x:c>
      <x:c r="P11" s="92" t="str">
        <x:f>IF(O11&gt;=20,"Crítico",IF(O11&gt;=12,"Alto",IF(O11&gt;=6,"Medio","Bajo")))</x:f>
        <x:v>Medio</x:v>
      </x:c>
      <x:c r="Q11" s="92" t="str">
        <x:v>Puede aceptarse según umbral menor o igual a 6</x:v>
      </x:c>
      <x:c r="R11" s="92" t="str">
        <x:v>Endurecer configuración de red en próxima actualización</x:v>
      </x:c>
      <x:c r="S11" s="92" t="str">
        <x:v>A.8.9</x:v>
      </x:c>
      <x:c r="T11" s="94" t="str">
        <x:v>3</x:v>
      </x:c>
      <x:c r="U11" s="92" t="str">
        <x:v>Greenbone autenticado y no autenticado - TCP Timestamps Information Disclosure</x:v>
      </x:c>
      <x:c r="V11" s="95" t="str">
        <x:v>El valor 6 está dentro del criterio de aceptación definido por el laboratorio</x:v>
      </x:c>
    </x:row>
  </x:sheetData>
  <x:conditionalFormatting sqref="P2:P11">
    <x:cfRule type="containsText" dxfId="0" priority="1" operator="containsText" text="Crítico"/>
    <x:cfRule type="containsText" dxfId="1" priority="2" operator="containsText" text="Alto"/>
    <x:cfRule type="containsText" dxfId="2" priority="3" operator="containsText" text="Medio"/>
    <x:cfRule type="containsText" dxfId="3" priority="4" operator="containsText" text="Bajo"/>
  </x:conditionalFormatting>
  <x:pageMargins left="0.7" right="0.7" top="0.75" bottom="0.75" header="0.3" footer="0.3"/>
  <x:tableParts count="1">
    <x:tablePart xmlns:r="http://schemas.openxmlformats.org/officeDocument/2006/relationships" r:id="R9cfacb8d172f45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9" hidden="0" customWidth="1"/>
    <x:col min="5" max="5" width="9" hidden="0" customWidth="1"/>
    <x:col min="6" max="6" width="13" hidden="0" customWidth="1"/>
    <x:col min="7" max="7" width="10" hidden="0" customWidth="1"/>
    <x:col min="8" max="8" width="15" hidden="0" customWidth="1"/>
    <x:col min="9" max="9" width="11" hidden="0" customWidth="1"/>
    <x:col min="10" max="10" width="19" hidden="0" customWidth="1"/>
  </x:cols>
  <x:sheetData>
    <x:row r="1" ht="36" customHeight="1">
      <x:c r="A1" s="122" t="str">
        <x:v>ID</x:v>
      </x:c>
      <x:c r="B1" s="122" t="str">
        <x:v>Activo</x:v>
      </x:c>
      <x:c r="C1" s="122" t="str">
        <x:v>Dueño del riesgo</x:v>
      </x:c>
      <x:c r="D1" s="122" t="str">
        <x:v>CVE</x:v>
      </x:c>
      <x:c r="E1" s="122" t="str">
        <x:v>CVSS</x:v>
      </x:c>
      <x:c r="F1" s="122" t="str">
        <x:v>Probabilidad</x:v>
      </x:c>
      <x:c r="G1" s="122" t="str">
        <x:v>Impacto</x:v>
      </x:c>
      <x:c r="H1" s="122" t="str">
        <x:v>Riesgo inherente</x:v>
      </x:c>
      <x:c r="I1" s="122" t="str">
        <x:v>Nivel</x:v>
      </x:c>
      <x:c r="J1" s="122" t="str">
        <x:v>Control ISO</x:v>
      </x:c>
    </x:row>
    <x:row r="2" ht="32" customHeight="1">
      <x:c r="A2" s="162" t="str">
        <x:f>'Registro completo'!A2</x:f>
        <x:v>R-001</x:v>
      </x:c>
      <x:c r="B2" s="163" t="str">
        <x:f>'Registro completo'!D2</x:f>
        <x:v>Aplicación DVWA de entrenamiento</x:v>
      </x:c>
      <x:c r="C2" s="163" t="str">
        <x:f>'Registro completo'!E2</x:f>
        <x:v>Gerencia de Operaciones</x:v>
      </x:c>
      <x:c r="D2" s="163" t="str">
        <x:f>'Registro completo'!I2</x:f>
        <x:v>N/D</x:v>
      </x:c>
      <x:c r="E2" s="180" t="str">
        <x:f>'Registro completo'!J2</x:f>
        <x:v>10.0</x:v>
      </x:c>
      <x:c r="F2" s="186" t="str">
        <x:f>'Registro completo'!M2</x:f>
        <x:v>4</x:v>
      </x:c>
      <x:c r="G2" s="186" t="str">
        <x:f>'Registro completo'!N2</x:f>
        <x:v>1</x:v>
      </x:c>
      <x:c r="H2" s="186" t="n">
        <x:f>'Registro completo'!O2</x:f>
        <x:v>4</x:v>
      </x:c>
      <x:c r="I2" s="163" t="str">
        <x:f>'Registro completo'!P2</x:f>
        <x:v>Bajo</x:v>
      </x:c>
      <x:c r="J2" s="164" t="str">
        <x:f>'Registro completo'!S2</x:f>
        <x:v>A.8.8</x:v>
      </x:c>
    </x:row>
    <x:row r="3" ht="32" customHeight="1">
      <x:c r="A3" s="165" t="str">
        <x:f>'Registro completo'!A3</x:f>
        <x:v>R-002</x:v>
      </x:c>
      <x:c r="B3" s="166" t="str">
        <x:f>'Registro completo'!D3</x:f>
        <x:v>Servidor de aplicación legada interna</x:v>
      </x:c>
      <x:c r="C3" s="166" t="str">
        <x:f>'Registro completo'!E3</x:f>
        <x:v>Gerencia de Operaciones</x:v>
      </x:c>
      <x:c r="D3" s="166" t="str">
        <x:f>'Registro completo'!I3</x:f>
        <x:v>N/D</x:v>
      </x:c>
      <x:c r="E3" s="181" t="str">
        <x:f>'Registro completo'!J3</x:f>
        <x:v>10.0</x:v>
      </x:c>
      <x:c r="F3" s="187" t="str">
        <x:f>'Registro completo'!M3</x:f>
        <x:v>4</x:v>
      </x:c>
      <x:c r="G3" s="187" t="str">
        <x:f>'Registro completo'!N3</x:f>
        <x:v>3</x:v>
      </x:c>
      <x:c r="H3" s="187" t="n">
        <x:f>'Registro completo'!O3</x:f>
        <x:v>12</x:v>
      </x:c>
      <x:c r="I3" s="166" t="str">
        <x:f>'Registro completo'!P3</x:f>
        <x:v>Alto</x:v>
      </x:c>
      <x:c r="J3" s="167" t="str">
        <x:f>'Registro completo'!S3</x:f>
        <x:v>A.8.8</x:v>
      </x:c>
    </x:row>
    <x:row r="4" ht="32" customHeight="1">
      <x:c r="A4" s="165" t="str">
        <x:f>'Registro completo'!A4</x:f>
        <x:v>R-003</x:v>
      </x:c>
      <x:c r="B4" s="166" t="str">
        <x:f>'Registro completo'!D4</x:f>
        <x:v>Servicio de aplicación legada</x:v>
      </x:c>
      <x:c r="C4" s="166" t="str">
        <x:f>'Registro completo'!E4</x:f>
        <x:v>Gerencia de Operaciones</x:v>
      </x:c>
      <x:c r="D4" s="166" t="str">
        <x:f>'Registro completo'!I4</x:f>
        <x:v>N/D</x:v>
      </x:c>
      <x:c r="E4" s="181" t="str">
        <x:f>'Registro completo'!J4</x:f>
        <x:v>10.0</x:v>
      </x:c>
      <x:c r="F4" s="187" t="str">
        <x:f>'Registro completo'!M4</x:f>
        <x:v>3</x:v>
      </x:c>
      <x:c r="G4" s="187" t="str">
        <x:f>'Registro completo'!N4</x:f>
        <x:v>3</x:v>
      </x:c>
      <x:c r="H4" s="187" t="n">
        <x:f>'Registro completo'!O4</x:f>
        <x:v>9</x:v>
      </x:c>
      <x:c r="I4" s="166" t="str">
        <x:f>'Registro completo'!P4</x:f>
        <x:v>Medio</x:v>
      </x:c>
      <x:c r="J4" s="167" t="str">
        <x:f>'Registro completo'!S4</x:f>
        <x:v>A.8.14</x:v>
      </x:c>
    </x:row>
    <x:row r="5" ht="32" customHeight="1">
      <x:c r="A5" s="165" t="str">
        <x:f>'Registro completo'!A5</x:f>
        <x:v>R-004</x:v>
      </x:c>
      <x:c r="B5" s="166" t="str">
        <x:f>'Registro completo'!D5</x:f>
        <x:v>Credenciales con acceso a información restringida</x:v>
      </x:c>
      <x:c r="C5" s="166" t="str">
        <x:f>'Registro completo'!E5</x:f>
        <x:v>Gerencia de Finanzas</x:v>
      </x:c>
      <x:c r="D5" s="166" t="str">
        <x:f>'Registro completo'!I5</x:f>
        <x:v>N/D</x:v>
      </x:c>
      <x:c r="E5" s="181" t="str">
        <x:f>'Registro completo'!J5</x:f>
        <x:v>4.8</x:v>
      </x:c>
      <x:c r="F5" s="187" t="str">
        <x:f>'Registro completo'!M5</x:f>
        <x:v>4</x:v>
      </x:c>
      <x:c r="G5" s="187" t="str">
        <x:f>'Registro completo'!N5</x:f>
        <x:v>5</x:v>
      </x:c>
      <x:c r="H5" s="187" t="n">
        <x:f>'Registro completo'!O5</x:f>
        <x:v>20</x:v>
      </x:c>
      <x:c r="I5" s="166" t="str">
        <x:f>'Registro completo'!P5</x:f>
        <x:v>Crítico</x:v>
      </x:c>
      <x:c r="J5" s="167" t="str">
        <x:f>'Registro completo'!S5</x:f>
        <x:v>A.8.24 / A.5.17</x:v>
      </x:c>
    </x:row>
    <x:row r="6" ht="32" customHeight="1">
      <x:c r="A6" s="165" t="str">
        <x:f>'Registro completo'!A6</x:f>
        <x:v>R-005</x:v>
      </x:c>
      <x:c r="B6" s="166" t="str">
        <x:f>'Registro completo'!D6</x:f>
        <x:v>Credenciales de la aplicación legada</x:v>
      </x:c>
      <x:c r="C6" s="166" t="str">
        <x:f>'Registro completo'!E6</x:f>
        <x:v>Gerencia de Operaciones</x:v>
      </x:c>
      <x:c r="D6" s="166" t="str">
        <x:f>'Registro completo'!I6</x:f>
        <x:v>N/D</x:v>
      </x:c>
      <x:c r="E6" s="181" t="str">
        <x:f>'Registro completo'!J6</x:f>
        <x:v>4.8</x:v>
      </x:c>
      <x:c r="F6" s="187" t="str">
        <x:f>'Registro completo'!M6</x:f>
        <x:v>3</x:v>
      </x:c>
      <x:c r="G6" s="187" t="str">
        <x:f>'Registro completo'!N6</x:f>
        <x:v>4</x:v>
      </x:c>
      <x:c r="H6" s="187" t="n">
        <x:f>'Registro completo'!O6</x:f>
        <x:v>12</x:v>
      </x:c>
      <x:c r="I6" s="166" t="str">
        <x:f>'Registro completo'!P6</x:f>
        <x:v>Alto</x:v>
      </x:c>
      <x:c r="J6" s="167" t="str">
        <x:f>'Registro completo'!S6</x:f>
        <x:v>A.8.24</x:v>
      </x:c>
    </x:row>
    <x:row r="7" ht="32" customHeight="1">
      <x:c r="A7" s="165" t="str">
        <x:f>'Registro completo'!A7</x:f>
        <x:v>R-006</x:v>
      </x:c>
      <x:c r="B7" s="166" t="str">
        <x:f>'Registro completo'!D7</x:f>
        <x:v>Sesiones de usuarios de la aplicación</x:v>
      </x:c>
      <x:c r="C7" s="166" t="str">
        <x:f>'Registro completo'!E7</x:f>
        <x:v>Gerencia de Operaciones</x:v>
      </x:c>
      <x:c r="D7" s="166" t="str">
        <x:f>'Registro completo'!I7</x:f>
        <x:v>N/D</x:v>
      </x:c>
      <x:c r="E7" s="181" t="str">
        <x:f>'Registro completo'!J7</x:f>
        <x:v>5.0</x:v>
      </x:c>
      <x:c r="F7" s="187" t="str">
        <x:f>'Registro completo'!M7</x:f>
        <x:v>3</x:v>
      </x:c>
      <x:c r="G7" s="187" t="str">
        <x:f>'Registro completo'!N7</x:f>
        <x:v>3</x:v>
      </x:c>
      <x:c r="H7" s="187" t="n">
        <x:f>'Registro completo'!O7</x:f>
        <x:v>9</x:v>
      </x:c>
      <x:c r="I7" s="166" t="str">
        <x:f>'Registro completo'!P7</x:f>
        <x:v>Medio</x:v>
      </x:c>
      <x:c r="J7" s="167" t="str">
        <x:f>'Registro completo'!S7</x:f>
        <x:v>A.8.26</x:v>
      </x:c>
    </x:row>
    <x:row r="8" ht="32" customHeight="1">
      <x:c r="A8" s="165" t="str">
        <x:f>'Registro completo'!A8</x:f>
        <x:v>R-007</x:v>
      </x:c>
      <x:c r="B8" s="166" t="str">
        <x:f>'Registro completo'!D8</x:f>
        <x:v>Base de datos ERP</x:v>
      </x:c>
      <x:c r="C8" s="166" t="str">
        <x:f>'Registro completo'!E8</x:f>
        <x:v>Gerencia de Finanzas</x:v>
      </x:c>
      <x:c r="D8" s="166" t="str">
        <x:f>'Registro completo'!I8</x:f>
        <x:v>N/D</x:v>
      </x:c>
      <x:c r="E8" s="181" t="str">
        <x:f>'Registro completo'!J8</x:f>
        <x:v>2.6</x:v>
      </x:c>
      <x:c r="F8" s="187" t="str">
        <x:f>'Registro completo'!M8</x:f>
        <x:v>2</x:v>
      </x:c>
      <x:c r="G8" s="187" t="str">
        <x:f>'Registro completo'!N8</x:f>
        <x:v>5</x:v>
      </x:c>
      <x:c r="H8" s="187" t="n">
        <x:f>'Registro completo'!O8</x:f>
        <x:v>10</x:v>
      </x:c>
      <x:c r="I8" s="166" t="str">
        <x:f>'Registro completo'!P8</x:f>
        <x:v>Medio</x:v>
      </x:c>
      <x:c r="J8" s="167" t="str">
        <x:f>'Registro completo'!S8</x:f>
        <x:v>A.8.20 / A.8.9</x:v>
      </x:c>
    </x:row>
    <x:row r="9" ht="32" customHeight="1">
      <x:c r="A9" s="165" t="str">
        <x:f>'Registro completo'!A9</x:f>
        <x:v>R-008</x:v>
      </x:c>
      <x:c r="B9" s="166" t="str">
        <x:f>'Registro completo'!D9</x:f>
        <x:v>Portal de clientes</x:v>
      </x:c>
      <x:c r="C9" s="166" t="str">
        <x:f>'Registro completo'!E9</x:f>
        <x:v>Gerencia Comercial</x:v>
      </x:c>
      <x:c r="D9" s="166" t="str">
        <x:f>'Registro completo'!I9</x:f>
        <x:v>N/D</x:v>
      </x:c>
      <x:c r="E9" s="181" t="str">
        <x:f>'Registro completo'!J9</x:f>
        <x:v>2.6</x:v>
      </x:c>
      <x:c r="F9" s="187" t="str">
        <x:f>'Registro completo'!M9</x:f>
        <x:v>3</x:v>
      </x:c>
      <x:c r="G9" s="187" t="str">
        <x:f>'Registro completo'!N9</x:f>
        <x:v>4</x:v>
      </x:c>
      <x:c r="H9" s="187" t="n">
        <x:f>'Registro completo'!O9</x:f>
        <x:v>12</x:v>
      </x:c>
      <x:c r="I9" s="166" t="str">
        <x:f>'Registro completo'!P9</x:f>
        <x:v>Alto</x:v>
      </x:c>
      <x:c r="J9" s="167" t="str">
        <x:f>'Registro completo'!S9</x:f>
        <x:v>A.8.20 / A.8.9</x:v>
      </x:c>
    </x:row>
    <x:row r="10" ht="32" customHeight="1">
      <x:c r="A10" s="165" t="str">
        <x:f>'Registro completo'!A10</x:f>
        <x:v>R-009</x:v>
      </x:c>
      <x:c r="B10" s="166" t="str">
        <x:f>'Registro completo'!D10</x:f>
        <x:v>Portal corporativo público</x:v>
      </x:c>
      <x:c r="C10" s="166" t="str">
        <x:f>'Registro completo'!E10</x:f>
        <x:v>Gerencia Comercial</x:v>
      </x:c>
      <x:c r="D10" s="166" t="str">
        <x:f>'Registro completo'!I10</x:f>
        <x:v>N/D</x:v>
      </x:c>
      <x:c r="E10" s="181" t="str">
        <x:f>'Registro completo'!J10</x:f>
        <x:v>2.6</x:v>
      </x:c>
      <x:c r="F10" s="187" t="str">
        <x:f>'Registro completo'!M10</x:f>
        <x:v>3</x:v>
      </x:c>
      <x:c r="G10" s="187" t="str">
        <x:f>'Registro completo'!N10</x:f>
        <x:v>1</x:v>
      </x:c>
      <x:c r="H10" s="187" t="n">
        <x:f>'Registro completo'!O10</x:f>
        <x:v>3</x:v>
      </x:c>
      <x:c r="I10" s="166" t="str">
        <x:f>'Registro completo'!P10</x:f>
        <x:v>Bajo</x:v>
      </x:c>
      <x:c r="J10" s="167" t="str">
        <x:f>'Registro completo'!S10</x:f>
        <x:v>A.8.9</x:v>
      </x:c>
    </x:row>
    <x:row r="11" ht="32" customHeight="1">
      <x:c r="A11" s="168" t="str">
        <x:f>'Registro completo'!A11</x:f>
        <x:v>R-010</x:v>
      </x:c>
      <x:c r="B11" s="169" t="str">
        <x:f>'Registro completo'!D11</x:f>
        <x:v>Aplicación legada interna</x:v>
      </x:c>
      <x:c r="C11" s="169" t="str">
        <x:f>'Registro completo'!E11</x:f>
        <x:v>Gerencia de Operaciones</x:v>
      </x:c>
      <x:c r="D11" s="169" t="str">
        <x:f>'Registro completo'!I11</x:f>
        <x:v>N/D</x:v>
      </x:c>
      <x:c r="E11" s="182" t="str">
        <x:f>'Registro completo'!J11</x:f>
        <x:v>2.6</x:v>
      </x:c>
      <x:c r="F11" s="188" t="str">
        <x:f>'Registro completo'!M11</x:f>
        <x:v>2</x:v>
      </x:c>
      <x:c r="G11" s="188" t="str">
        <x:f>'Registro completo'!N11</x:f>
        <x:v>3</x:v>
      </x:c>
      <x:c r="H11" s="188" t="n">
        <x:f>'Registro completo'!O11</x:f>
        <x:v>6</x:v>
      </x:c>
      <x:c r="I11" s="169" t="str">
        <x:f>'Registro completo'!P11</x:f>
        <x:v>Medio</x:v>
      </x:c>
      <x:c r="J11" s="170" t="str">
        <x:f>'Registro completo'!S11</x:f>
        <x:v>A.8.9</x:v>
      </x:c>
    </x:row>
  </x:sheetData>
  <x:conditionalFormatting sqref="I2:I11">
    <x:cfRule type="containsText" dxfId="4" priority="1" operator="containsText" text="Crítico"/>
    <x:cfRule type="containsText" dxfId="5" priority="2" operator="containsText" text="Alto"/>
    <x:cfRule type="containsText" dxfId="6" priority="3" operator="containsText" text="Medio"/>
    <x:cfRule type="containsText" dxfId="7" priority="4" operator="containsText" text="Bajo"/>
  </x:conditionalFormatting>
  <x:pageMargins left="0.7" right="0.7" top="0.75" bottom="0.75" header="0.3" footer="0.3"/>
  <x:tableParts count="1">
    <x:tablePart xmlns:r="http://schemas.openxmlformats.org/officeDocument/2006/relationships" r:id="R1f758bf98b0546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196" t="str">
        <x:v>Matriz de riesgo inherente · Probabilidad × Impacto</x:v>
      </x:c>
      <x:c r="B1" s="196"/>
      <x:c r="C1" s="196"/>
      <x:c r="D1" s="196"/>
      <x:c r="E1" s="196"/>
      <x:c r="F1" s="196"/>
    </x:row>
    <x:row r="3">
      <x:c r="A3" s="206" t="str">
        <x:v>Impacto / Prob.</x:v>
      </x:c>
      <x:c r="B3" s="206" t="n">
        <x:v>1</x:v>
      </x:c>
      <x:c r="C3" s="206" t="n">
        <x:v>2</x:v>
      </x:c>
      <x:c r="D3" s="206" t="n">
        <x:v>3</x:v>
      </x:c>
      <x:c r="E3" s="206" t="n">
        <x:v>4</x:v>
      </x:c>
      <x:c r="F3" s="206" t="n">
        <x:v>5</x:v>
      </x:c>
    </x:row>
    <x:row r="4" ht="28" customHeight="1">
      <x:c r="A4" s="206" t="n">
        <x:v>5</x:v>
      </x:c>
      <x:c r="B4" s="202" t="n">
        <x:f>B$3*$A4</x:f>
        <x:v>5</x:v>
      </x:c>
      <x:c r="C4" s="202" t="n">
        <x:f>C$3*$A4</x:f>
        <x:v>10</x:v>
      </x:c>
      <x:c r="D4" s="202" t="n">
        <x:f>D$3*$A4</x:f>
        <x:v>15</x:v>
      </x:c>
      <x:c r="E4" s="202" t="n">
        <x:f>E$3*$A4</x:f>
        <x:v>20</x:v>
      </x:c>
      <x:c r="F4" s="202" t="n">
        <x:f>F$3*$A4</x:f>
        <x:v>25</x:v>
      </x:c>
    </x:row>
    <x:row r="5" ht="28" customHeight="1">
      <x:c r="A5" s="206" t="n">
        <x:v>4</x:v>
      </x:c>
      <x:c r="B5" s="202" t="n">
        <x:f>B$3*$A5</x:f>
        <x:v>4</x:v>
      </x:c>
      <x:c r="C5" s="202" t="n">
        <x:f>C$3*$A5</x:f>
        <x:v>8</x:v>
      </x:c>
      <x:c r="D5" s="202" t="n">
        <x:f>D$3*$A5</x:f>
        <x:v>12</x:v>
      </x:c>
      <x:c r="E5" s="202" t="n">
        <x:f>E$3*$A5</x:f>
        <x:v>16</x:v>
      </x:c>
      <x:c r="F5" s="202" t="n">
        <x:f>F$3*$A5</x:f>
        <x:v>20</x:v>
      </x:c>
    </x:row>
    <x:row r="6" ht="28" customHeight="1">
      <x:c r="A6" s="206" t="n">
        <x:v>3</x:v>
      </x:c>
      <x:c r="B6" s="202" t="n">
        <x:f>B$3*$A6</x:f>
        <x:v>3</x:v>
      </x:c>
      <x:c r="C6" s="202" t="n">
        <x:f>C$3*$A6</x:f>
        <x:v>6</x:v>
      </x:c>
      <x:c r="D6" s="202" t="n">
        <x:f>D$3*$A6</x:f>
        <x:v>9</x:v>
      </x:c>
      <x:c r="E6" s="202" t="n">
        <x:f>E$3*$A6</x:f>
        <x:v>12</x:v>
      </x:c>
      <x:c r="F6" s="202" t="n">
        <x:f>F$3*$A6</x:f>
        <x:v>15</x:v>
      </x:c>
    </x:row>
    <x:row r="7" ht="28" customHeight="1">
      <x:c r="A7" s="206" t="n">
        <x:v>2</x:v>
      </x:c>
      <x:c r="B7" s="202" t="n">
        <x:f>B$3*$A7</x:f>
        <x:v>2</x:v>
      </x:c>
      <x:c r="C7" s="202" t="n">
        <x:f>C$3*$A7</x:f>
        <x:v>4</x:v>
      </x:c>
      <x:c r="D7" s="202" t="n">
        <x:f>D$3*$A7</x:f>
        <x:v>6</x:v>
      </x:c>
      <x:c r="E7" s="202" t="n">
        <x:f>E$3*$A7</x:f>
        <x:v>8</x:v>
      </x:c>
      <x:c r="F7" s="202" t="n">
        <x:f>F$3*$A7</x:f>
        <x:v>10</x:v>
      </x:c>
    </x:row>
    <x:row r="8" ht="28" customHeight="1">
      <x:c r="A8" s="206" t="n">
        <x:v>1</x:v>
      </x:c>
      <x:c r="B8" s="202" t="n">
        <x:f>B$3*$A8</x:f>
        <x:v>1</x:v>
      </x:c>
      <x:c r="C8" s="202" t="n">
        <x:f>C$3*$A8</x:f>
        <x:v>2</x:v>
      </x:c>
      <x:c r="D8" s="202" t="n">
        <x:f>D$3*$A8</x:f>
        <x:v>3</x:v>
      </x:c>
      <x:c r="E8" s="202" t="n">
        <x:f>E$3*$A8</x:f>
        <x:v>4</x:v>
      </x:c>
      <x:c r="F8" s="202" t="n">
        <x:f>F$3*$A8</x:f>
        <x:v>5</x:v>
      </x:c>
    </x:row>
    <x:row r="10">
      <x:c r="A10" s="208" t="str">
        <x:v>Cantidad de riesgos ubicados en cada celda</x:v>
      </x:c>
      <x:c r="B10" s="208"/>
      <x:c r="C10" s="208"/>
      <x:c r="D10" s="208"/>
      <x:c r="E10" s="208"/>
      <x:c r="F10" s="208"/>
    </x:row>
    <x:row r="12">
      <x:c r="A12" s="206" t="str">
        <x:v>Impacto / Prob.</x:v>
      </x:c>
      <x:c r="B12" s="206" t="n">
        <x:v>1</x:v>
      </x:c>
      <x:c r="C12" s="206" t="n">
        <x:v>2</x:v>
      </x:c>
      <x:c r="D12" s="206" t="n">
        <x:v>3</x:v>
      </x:c>
      <x:c r="E12" s="206" t="n">
        <x:v>4</x:v>
      </x:c>
      <x:c r="F12" s="206" t="n">
        <x:v>5</x:v>
      </x:c>
    </x:row>
    <x:row r="13">
      <x:c r="A13" s="206" t="n">
        <x:v>5</x:v>
      </x:c>
      <x:c r="B13" s="202" t="n">
        <x:f>COUNTIFS('Registro completo'!$M$2:$M$11,B$12,'Registro completo'!$N$2:$N$11,$A13)</x:f>
        <x:v>0</x:v>
      </x:c>
      <x:c r="C13" s="202" t="n">
        <x:f>COUNTIFS('Registro completo'!$M$2:$M$11,C$12,'Registro completo'!$N$2:$N$11,$A13)</x:f>
        <x:v>1</x:v>
      </x:c>
      <x:c r="D13" s="202" t="n">
        <x:f>COUNTIFS('Registro completo'!$M$2:$M$11,D$12,'Registro completo'!$N$2:$N$11,$A13)</x:f>
        <x:v>0</x:v>
      </x:c>
      <x:c r="E13" s="202" t="n">
        <x:f>COUNTIFS('Registro completo'!$M$2:$M$11,E$12,'Registro completo'!$N$2:$N$11,$A13)</x:f>
        <x:v>1</x:v>
      </x:c>
      <x:c r="F13" s="202" t="n">
        <x:f>COUNTIFS('Registro completo'!$M$2:$M$11,F$12,'Registro completo'!$N$2:$N$11,$A13)</x:f>
        <x:v>0</x:v>
      </x:c>
    </x:row>
    <x:row r="14">
      <x:c r="A14" s="206" t="n">
        <x:v>4</x:v>
      </x:c>
      <x:c r="B14" s="202" t="n">
        <x:f>COUNTIFS('Registro completo'!$M$2:$M$11,B$12,'Registro completo'!$N$2:$N$11,$A14)</x:f>
        <x:v>0</x:v>
      </x:c>
      <x:c r="C14" s="202" t="n">
        <x:f>COUNTIFS('Registro completo'!$M$2:$M$11,C$12,'Registro completo'!$N$2:$N$11,$A14)</x:f>
        <x:v>0</x:v>
      </x:c>
      <x:c r="D14" s="202" t="n">
        <x:f>COUNTIFS('Registro completo'!$M$2:$M$11,D$12,'Registro completo'!$N$2:$N$11,$A14)</x:f>
        <x:v>2</x:v>
      </x:c>
      <x:c r="E14" s="202" t="n">
        <x:f>COUNTIFS('Registro completo'!$M$2:$M$11,E$12,'Registro completo'!$N$2:$N$11,$A14)</x:f>
        <x:v>0</x:v>
      </x:c>
      <x:c r="F14" s="202" t="n">
        <x:f>COUNTIFS('Registro completo'!$M$2:$M$11,F$12,'Registro completo'!$N$2:$N$11,$A14)</x:f>
        <x:v>0</x:v>
      </x:c>
    </x:row>
    <x:row r="15">
      <x:c r="A15" s="206" t="n">
        <x:v>3</x:v>
      </x:c>
      <x:c r="B15" s="202" t="n">
        <x:f>COUNTIFS('Registro completo'!$M$2:$M$11,B$12,'Registro completo'!$N$2:$N$11,$A15)</x:f>
        <x:v>0</x:v>
      </x:c>
      <x:c r="C15" s="202" t="n">
        <x:f>COUNTIFS('Registro completo'!$M$2:$M$11,C$12,'Registro completo'!$N$2:$N$11,$A15)</x:f>
        <x:v>1</x:v>
      </x:c>
      <x:c r="D15" s="202" t="n">
        <x:f>COUNTIFS('Registro completo'!$M$2:$M$11,D$12,'Registro completo'!$N$2:$N$11,$A15)</x:f>
        <x:v>2</x:v>
      </x:c>
      <x:c r="E15" s="202" t="n">
        <x:f>COUNTIFS('Registro completo'!$M$2:$M$11,E$12,'Registro completo'!$N$2:$N$11,$A15)</x:f>
        <x:v>1</x:v>
      </x:c>
      <x:c r="F15" s="202" t="n">
        <x:f>COUNTIFS('Registro completo'!$M$2:$M$11,F$12,'Registro completo'!$N$2:$N$11,$A15)</x:f>
        <x:v>0</x:v>
      </x:c>
    </x:row>
    <x:row r="16">
      <x:c r="A16" s="206" t="n">
        <x:v>2</x:v>
      </x:c>
      <x:c r="B16" s="202" t="n">
        <x:f>COUNTIFS('Registro completo'!$M$2:$M$11,B$12,'Registro completo'!$N$2:$N$11,$A16)</x:f>
        <x:v>0</x:v>
      </x:c>
      <x:c r="C16" s="202" t="n">
        <x:f>COUNTIFS('Registro completo'!$M$2:$M$11,C$12,'Registro completo'!$N$2:$N$11,$A16)</x:f>
        <x:v>0</x:v>
      </x:c>
      <x:c r="D16" s="202" t="n">
        <x:f>COUNTIFS('Registro completo'!$M$2:$M$11,D$12,'Registro completo'!$N$2:$N$11,$A16)</x:f>
        <x:v>0</x:v>
      </x:c>
      <x:c r="E16" s="202" t="n">
        <x:f>COUNTIFS('Registro completo'!$M$2:$M$11,E$12,'Registro completo'!$N$2:$N$11,$A16)</x:f>
        <x:v>0</x:v>
      </x:c>
      <x:c r="F16" s="202" t="n">
        <x:f>COUNTIFS('Registro completo'!$M$2:$M$11,F$12,'Registro completo'!$N$2:$N$11,$A16)</x:f>
        <x:v>0</x:v>
      </x:c>
    </x:row>
    <x:row r="17">
      <x:c r="A17" s="206" t="n">
        <x:v>1</x:v>
      </x:c>
      <x:c r="B17" s="202" t="n">
        <x:f>COUNTIFS('Registro completo'!$M$2:$M$11,B$12,'Registro completo'!$N$2:$N$11,$A17)</x:f>
        <x:v>0</x:v>
      </x:c>
      <x:c r="C17" s="202" t="n">
        <x:f>COUNTIFS('Registro completo'!$M$2:$M$11,C$12,'Registro completo'!$N$2:$N$11,$A17)</x:f>
        <x:v>0</x:v>
      </x:c>
      <x:c r="D17" s="202" t="n">
        <x:f>COUNTIFS('Registro completo'!$M$2:$M$11,D$12,'Registro completo'!$N$2:$N$11,$A17)</x:f>
        <x:v>1</x:v>
      </x:c>
      <x:c r="E17" s="202" t="n">
        <x:f>COUNTIFS('Registro completo'!$M$2:$M$11,E$12,'Registro completo'!$N$2:$N$11,$A17)</x:f>
        <x:v>1</x:v>
      </x:c>
      <x:c r="F17" s="202" t="n">
        <x:f>COUNTIFS('Registro completo'!$M$2:$M$11,F$12,'Registro completo'!$N$2:$N$11,$A17)</x:f>
        <x:v>0</x:v>
      </x:c>
    </x:row>
  </x:sheetData>
  <x:mergeCells>
    <x:mergeCell ref="A1:F1"/>
    <x:mergeCell ref="A10:F10"/>
  </x:mergeCells>
  <x:conditionalFormatting sqref="B4:F8">
    <x:cfRule type="cellIs" dxfId="8" priority="1" operator="lessThanOrEqual">
      <x:formula>5</x:formula>
    </x:cfRule>
    <x:cfRule type="cellIs" dxfId="9" priority="2" operator="between">
      <x:formula>6</x:formula>
      <x:formula>11</x:formula>
    </x:cfRule>
    <x:cfRule type="cellIs" dxfId="10" priority="3" operator="between">
      <x:formula>12</x:formula>
      <x:formula>19</x:formula>
    </x:cfRule>
    <x:cfRule type="cellIs" dxfId="11" priority="4" operator="greaterThanOrEqual">
      <x:formula>20</x:formula>
    </x:cfRule>
  </x:conditionalFormatting>
  <x:conditionalFormatting sqref="B13:F17">
    <x:cfRule type="colorScale" priority="5">
      <x:colorScale>
        <x:cfvo type="min"/>
        <x:cfvo type="percentile" val="50"/>
        <x:cfvo type="max"/>
        <x:color rgb="FFFFFFFF"/>
        <x:color rgb="FFFDE047"/>
        <x:color rgb="FFDC2626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</x:cols>
  <x:sheetData>
    <x:row r="1">
      <x:c r="A1" s="222" t="str">
        <x:v>Elemento</x:v>
      </x:c>
      <x:c r="B1" s="223" t="str">
        <x:v>Detalle</x:v>
      </x:c>
    </x:row>
    <x:row r="2" ht="32" customHeight="1">
      <x:c r="A2" s="224" t="str">
        <x:v>Fuente 1</x:v>
      </x:c>
      <x:c r="B2" s="37" t="str">
        <x:v>reporte_greenbone_autenticado.csv</x:v>
      </x:c>
    </x:row>
    <x:row r="3" ht="32" customHeight="1">
      <x:c r="A3" s="224" t="str">
        <x:v>Fuente 2</x:v>
      </x:c>
      <x:c r="B3" s="37" t="str">
        <x:v>reporte_greenbone_no_autenticado.csv</x:v>
      </x:c>
    </x:row>
    <x:row r="4" ht="32" customHeight="1">
      <x:c r="A4" s="224" t="str">
        <x:v>Hallazgos</x:v>
      </x:c>
      <x:c r="B4" s="37" t="str">
        <x:v>7 por reporte: 1 crítico, 2 medios y 4 bajos; ambos reportes contienen el mismo conjunto.</x:v>
      </x:c>
    </x:row>
    <x:row r="5" ht="32" customHeight="1">
      <x:c r="A5" s="224" t="str">
        <x:v>CVE</x:v>
      </x:c>
      <x:c r="B5" s="37" t="str">
        <x:v>La columna CVEs está vacía; se consigna N/D y no se inventan identificadores.</x:v>
      </x:c>
    </x:row>
    <x:row r="6" ht="32" customHeight="1">
      <x:c r="A6" s="224" t="str">
        <x:v>Umbral</x:v>
      </x:c>
      <x:c r="B6" s="37" t="str">
        <x:v>Riesgo ≤ 6 puede aceptarse; riesgo &gt; 6 requiere tratamiento.</x:v>
      </x:c>
    </x:row>
    <x:row r="7" ht="32" customHeight="1">
      <x:c r="A7" s="224" t="str">
        <x:v>Niveles</x:v>
      </x:c>
      <x:c r="B7" s="37" t="str">
        <x:v>Crítico ≥ 20; Alto 12–19; Medio 6–11; Bajo 1–5.</x:v>
      </x:c>
    </x:row>
    <x:row r="8" ht="32" customHeight="1">
      <x:c r="A8" s="225" t="str">
        <x:v>Contrastes</x:v>
      </x:c>
      <x:c r="B8" s="40" t="str">
        <x:v>R-001: CVSS alto/riesgo bajo. R-004: CVSS medio/riesgo crítico condicionado a reutilización de credenciales.</x:v>
      </x:c>
    </x:row>
  </x:sheetData>
  <x:pageMargins left="0.7" right="0.7" top="0.75" bottom="0.75" header="0.3" footer="0.3"/>
</x:worksheet>
</file>